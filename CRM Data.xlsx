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0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1" l="1"/>
  <c r="H11" i="1"/>
  <c r="G11" i="1"/>
  <c r="F11" i="1"/>
  <c r="E11" i="1"/>
  <c r="D11" i="1"/>
  <c r="C11" i="1"/>
  <c r="B11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<sst xmlns="http://schemas.openxmlformats.org/spreadsheetml/2006/main" count="25" uniqueCount="22">
  <si>
    <t>index</t>
  </si>
  <si>
    <t>H1 (APR-SEP 22-22)</t>
  </si>
  <si>
    <t>H2  (OCT-MAR 22-23)</t>
  </si>
  <si>
    <t>H1 (APR-SEP 23-23)</t>
  </si>
  <si>
    <t>H2 (OCT-MAR 23-24)</t>
  </si>
  <si>
    <t>H1 (APR-SEP 24-24)</t>
  </si>
  <si>
    <t>H2 (OCT-MAR 24-25)</t>
  </si>
  <si>
    <t>H1 (APR-SEP 25-25)</t>
  </si>
  <si>
    <t>H2 (OCT-MAR 25-26)</t>
  </si>
  <si>
    <t>NO OF STORES</t>
  </si>
  <si>
    <t>Total No of bill</t>
  </si>
  <si>
    <t>Total No of Cus</t>
  </si>
  <si>
    <t>New Customers</t>
  </si>
  <si>
    <t>New To Repeat Customers</t>
  </si>
  <si>
    <t>Repeat Customers</t>
  </si>
  <si>
    <t>Average Trans.</t>
  </si>
  <si>
    <t>Overall Sales</t>
  </si>
  <si>
    <t>Business Repeat Sales</t>
  </si>
  <si>
    <t>Business Repeat Sales %</t>
  </si>
  <si>
    <t>Campaign + Journeys Sales</t>
  </si>
  <si>
    <t>-</t>
  </si>
  <si>
    <t>CnJ Contribution to Repeat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</si>
</sst>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#,##0_ ;\-#,##0\ "/>
    <numFmt numFmtId="165" formatCode="_ * #,##0_ ;_ * \-#,##0_ ;_ * &quot;-&quot;??_ ;_ @_ "/>
    <numFmt numFmtId="166" formatCode="[$₹]#,##0"/>
    <numFmt numFmtId="167" formatCode="&quot;₹&quot;\ #,##0"/>
    <numFmt numFmtId="168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164" fontId="4" fillId="0" borderId="3" xfId="1" applyNumberFormat="1" applyFont="1" applyBorder="1" applyAlignment="1">
      <alignment horizontal="right"/>
    </xf>
    <xf numFmtId="165" fontId="4" fillId="0" borderId="3" xfId="1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right" vertical="center"/>
    </xf>
    <xf numFmtId="166" fontId="4" fillId="0" borderId="3" xfId="0" applyNumberFormat="1" applyFont="1" applyBorder="1" applyAlignment="1">
      <alignment horizontal="right" vertical="center"/>
    </xf>
    <xf numFmtId="167" fontId="0" fillId="0" borderId="3" xfId="0" applyNumberFormat="1" applyBorder="1" applyAlignment="1">
      <alignment horizontal="right"/>
    </xf>
    <xf numFmtId="167" fontId="5" fillId="0" borderId="3" xfId="0" applyNumberFormat="1" applyFont="1" applyBorder="1" applyAlignment="1">
      <alignment horizontal="right"/>
    </xf>
    <xf numFmtId="168" fontId="5" fillId="0" borderId="3" xfId="0" applyNumberFormat="1" applyFont="1" applyBorder="1" applyAlignment="1">
      <alignment horizontal="right"/>
    </xf>
    <xf numFmtId="9" fontId="4" fillId="0" borderId="2" xfId="0" applyNumberFormat="1" applyFont="1" applyBorder="1" applyAlignment="1">
      <alignment horizontal="right" vertical="center"/>
    </xf>
    <xf numFmtId="9" fontId="4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right" vertical="center"/>
    </xf>
    <xf numFmtId="3" fontId="4" fillId="5" borderId="3" xfId="0" applyNumberFormat="1" applyFont="1" applyFill="1" applyBorder="1" applyAlignment="1">
      <alignment horizontal="right" vertical="center"/>
    </xf>
    <xf numFmtId="164" fontId="4" fillId="5" borderId="3" xfId="1" applyNumberFormat="1" applyFont="1" applyFill="1" applyBorder="1" applyAlignment="1">
      <alignment horizontal="right"/>
    </xf>
    <xf numFmtId="165" fontId="4" fillId="5" borderId="3" xfId="1" applyNumberFormat="1" applyFont="1" applyFill="1" applyBorder="1" applyAlignment="1">
      <alignment horizontal="right"/>
    </xf>
    <xf numFmtId="166" fontId="4" fillId="6" borderId="2" xfId="0" applyNumberFormat="1" applyFont="1" applyFill="1" applyBorder="1" applyAlignment="1">
      <alignment horizontal="right" vertical="center"/>
    </xf>
    <xf numFmtId="166" fontId="4" fillId="6" borderId="3" xfId="0" applyNumberFormat="1" applyFont="1" applyFill="1" applyBorder="1" applyAlignment="1">
      <alignment horizontal="right" vertical="center"/>
    </xf>
    <xf numFmtId="167" fontId="0" fillId="5" borderId="3" xfId="0" applyNumberFormat="1" applyFill="1" applyBorder="1" applyAlignment="1">
      <alignment horizontal="right"/>
    </xf>
    <xf numFmtId="167" fontId="5" fillId="5" borderId="3" xfId="0" applyNumberFormat="1" applyFont="1" applyFill="1" applyBorder="1" applyAlignment="1">
      <alignment horizontal="right"/>
    </xf>
    <xf numFmtId="168" fontId="5" fillId="5" borderId="3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130" zoomScaleNormal="130" workbookViewId="0">
      <selection activeCell="C9" sqref="C9"/>
    </sheetView>
  </sheetViews>
  <sheetFormatPr defaultRowHeight="15" x14ac:dyDescent="0.25"/>
  <cols>
    <col min="1" max="1" width="26.85546875" bestFit="1" customWidth="1"/>
    <col min="2" max="2" width="16.28515625" bestFit="1" customWidth="1"/>
    <col min="3" max="3" width="17.7109375" bestFit="1" customWidth="1"/>
    <col min="4" max="4" width="21" bestFit="1" customWidth="1"/>
    <col min="5" max="5" width="21.42578125" bestFit="1" customWidth="1"/>
    <col min="6" max="6" width="21" bestFit="1" customWidth="1"/>
    <col min="7" max="7" width="21.42578125" bestFit="1" customWidth="1"/>
    <col min="8" max="8" width="21" bestFit="1" customWidth="1"/>
    <col min="9" max="9" width="21.42578125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idden="1" x14ac:dyDescent="0.25">
      <c r="A2" s="1" t="s">
        <v>9</v>
      </c>
      <c r="B2" s="2"/>
      <c r="C2" s="3"/>
      <c r="D2" s="4"/>
      <c r="E2" s="4"/>
      <c r="F2" s="4"/>
      <c r="G2" s="5">
        <v>136</v>
      </c>
      <c r="H2" s="5">
        <v>146</v>
      </c>
      <c r="I2" s="5">
        <v>134</v>
      </c>
    </row>
    <row r="3" spans="1:9" x14ac:dyDescent="0.25">
      <c r="A3" s="21" t="s">
        <v>10</v>
      </c>
      <c r="B3" s="23">
        <v>189502</v>
      </c>
      <c r="C3" s="24">
        <v>233359</v>
      </c>
      <c r="D3" s="25">
        <v>168921</v>
      </c>
      <c r="E3" s="26">
        <v>227561</v>
      </c>
      <c r="F3" s="26">
        <v>160602</v>
      </c>
      <c r="G3" s="26">
        <v>199542</v>
      </c>
      <c r="H3" s="26">
        <v>147487</v>
      </c>
      <c r="I3" s="26">
        <v>189516</v>
      </c>
    </row>
    <row r="4" spans="1:9" x14ac:dyDescent="0.25">
      <c r="A4" s="10" t="s">
        <v>11</v>
      </c>
      <c r="B4" s="6">
        <v>111875</v>
      </c>
      <c r="C4" s="7">
        <v>152730</v>
      </c>
      <c r="D4" s="8">
        <v>111876</v>
      </c>
      <c r="E4" s="9">
        <v>170524</v>
      </c>
      <c r="F4" s="9">
        <v>122947</v>
      </c>
      <c r="G4" s="9">
        <v>151265</v>
      </c>
      <c r="H4" s="9">
        <v>106636</v>
      </c>
      <c r="I4" s="9">
        <v>171434</v>
      </c>
    </row>
    <row r="5" spans="1:9" x14ac:dyDescent="0.25">
      <c r="A5" s="10" t="s">
        <v>12</v>
      </c>
      <c r="B5" s="6">
        <v>57443</v>
      </c>
      <c r="C5" s="7">
        <v>87592</v>
      </c>
      <c r="D5" s="8">
        <v>57452</v>
      </c>
      <c r="E5" s="9">
        <v>92158</v>
      </c>
      <c r="F5" s="9">
        <v>61349</v>
      </c>
      <c r="G5" s="9">
        <v>75727</v>
      </c>
      <c r="H5" s="9">
        <v>47132</v>
      </c>
      <c r="I5" s="9">
        <v>76865</v>
      </c>
    </row>
    <row r="6" spans="1:9" x14ac:dyDescent="0.25">
      <c r="A6" s="11" t="s">
        <v>13</v>
      </c>
      <c r="B6" s="6">
        <v>9232</v>
      </c>
      <c r="C6" s="7">
        <v>14280</v>
      </c>
      <c r="D6" s="8">
        <v>9232</v>
      </c>
      <c r="E6" s="9">
        <v>15183</v>
      </c>
      <c r="F6" s="9">
        <v>19790</v>
      </c>
      <c r="G6" s="9">
        <v>10770</v>
      </c>
      <c r="H6" s="9">
        <v>7686</v>
      </c>
      <c r="I6" s="9">
        <v>7755</v>
      </c>
    </row>
    <row r="7" spans="1:9" x14ac:dyDescent="0.25">
      <c r="A7" s="10" t="s">
        <v>14</v>
      </c>
      <c r="B7" s="6">
        <v>45200</v>
      </c>
      <c r="C7" s="7">
        <v>50858</v>
      </c>
      <c r="D7" s="8">
        <v>45191</v>
      </c>
      <c r="E7" s="9">
        <v>63182</v>
      </c>
      <c r="F7" s="9">
        <v>82341</v>
      </c>
      <c r="G7" s="9">
        <v>64767</v>
      </c>
      <c r="H7" s="9">
        <v>51817</v>
      </c>
      <c r="I7" s="9">
        <v>86806</v>
      </c>
    </row>
    <row r="8" spans="1:9" x14ac:dyDescent="0.25">
      <c r="A8" s="12" t="s">
        <v>15</v>
      </c>
      <c r="B8" s="13">
        <f>B9/B3</f>
        <v>3154.4240324640373</v>
      </c>
      <c r="C8" s="14">
        <f t="shared" ref="C8:E8" si="0">C9/C3</f>
        <v>4265.0208477067526</v>
      </c>
      <c r="D8" s="14">
        <f t="shared" si="0"/>
        <v>3376.742897567502</v>
      </c>
      <c r="E8" s="14">
        <f t="shared" si="0"/>
        <v>4095.9198193011985</v>
      </c>
      <c r="F8" s="14">
        <f>F9/F3</f>
        <v>3266.349883563094</v>
      </c>
      <c r="G8" s="14">
        <f>G9/G3</f>
        <v>4270.6812400396911</v>
      </c>
      <c r="H8" s="14">
        <f t="shared" ref="H8:I8" si="1">H9/H3</f>
        <v>3423.2055096381378</v>
      </c>
      <c r="I8" s="14">
        <f t="shared" si="1"/>
        <v>4425.4145190907366</v>
      </c>
    </row>
    <row r="9" spans="1:9" x14ac:dyDescent="0.25">
      <c r="A9" s="22" t="s">
        <v>16</v>
      </c>
      <c r="B9" s="27">
        <v>597769663</v>
      </c>
      <c r="C9" s="28">
        <v>995281000</v>
      </c>
      <c r="D9" s="29">
        <v>570402787</v>
      </c>
      <c r="E9" s="30">
        <v>932071610</v>
      </c>
      <c r="F9" s="30">
        <v>524582324</v>
      </c>
      <c r="G9" s="31">
        <v>852180276</v>
      </c>
      <c r="H9" s="29">
        <v>504878311</v>
      </c>
      <c r="I9" s="29">
        <v>838686858</v>
      </c>
    </row>
    <row r="10" spans="1:9" x14ac:dyDescent="0.25">
      <c r="A10" s="10" t="s">
        <v>17</v>
      </c>
      <c r="B10" s="13">
        <v>237403177</v>
      </c>
      <c r="C10" s="14">
        <v>409655462</v>
      </c>
      <c r="D10" s="15">
        <v>254520110</v>
      </c>
      <c r="E10" s="16">
        <v>435067474.20999998</v>
      </c>
      <c r="F10" s="16">
        <v>279952235.25</v>
      </c>
      <c r="G10" s="17">
        <v>443871764.38999999</v>
      </c>
      <c r="H10" s="16">
        <v>284791277.73000002</v>
      </c>
      <c r="I10" s="15">
        <v>488165870</v>
      </c>
    </row>
    <row r="11" spans="1:9" x14ac:dyDescent="0.25">
      <c r="A11" s="10" t="s">
        <v>18</v>
      </c>
      <c r="B11" s="18">
        <f t="shared" ref="B11:I11" si="2">B10/B9</f>
        <v>0.39714825240303303</v>
      </c>
      <c r="C11" s="19">
        <f t="shared" si="2"/>
        <v>0.41159779198035529</v>
      </c>
      <c r="D11" s="19">
        <f t="shared" si="2"/>
        <v>0.44621119636990836</v>
      </c>
      <c r="E11" s="19">
        <f t="shared" si="2"/>
        <v>0.46677473011971687</v>
      </c>
      <c r="F11" s="19">
        <f t="shared" si="2"/>
        <v>0.53366692403078375</v>
      </c>
      <c r="G11" s="19">
        <f t="shared" si="2"/>
        <v>0.5208660384319902</v>
      </c>
      <c r="H11" s="19">
        <f t="shared" si="2"/>
        <v>0.564079049396915</v>
      </c>
      <c r="I11" s="19">
        <f t="shared" si="2"/>
        <v>0.58205975847066393</v>
      </c>
    </row>
    <row r="12" spans="1:9" x14ac:dyDescent="0.25">
      <c r="A12" s="10" t="s">
        <v>19</v>
      </c>
      <c r="B12" s="13" t="s">
        <v>20</v>
      </c>
      <c r="C12" s="14" t="s">
        <v>20</v>
      </c>
      <c r="D12" s="20"/>
      <c r="E12" s="20"/>
      <c r="F12" s="20"/>
      <c r="G12" s="20"/>
      <c r="H12" s="20"/>
      <c r="I12" s="20"/>
    </row>
    <row r="13" spans="1:9" x14ac:dyDescent="0.25">
      <c r="A13" s="10" t="s">
        <v>21</v>
      </c>
      <c r="B13" s="13" t="s">
        <v>20</v>
      </c>
      <c r="C13" s="14" t="s">
        <v>20</v>
      </c>
      <c r="D13" s="20"/>
      <c r="E13" s="20"/>
      <c r="F13" s="20"/>
      <c r="G13" s="20"/>
      <c r="H13" s="20"/>
      <c r="I1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2026-03-24T06:16:11Z</dcterms:created>
  <dcterms:modified xsi:type="dcterms:W3CDTF">2026-03-24T09:31:01Z</dcterms:modified>
</cp:coreProperties>
</file>